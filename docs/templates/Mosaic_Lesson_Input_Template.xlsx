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Lesson_Brief" sheetId="2" state="visible" r:id="rId4"/>
    <sheet name="Items" sheetId="3" state="visible" r:id="rId5"/>
    <sheet name="Sentences" sheetId="4" state="visible" r:id="rId6"/>
    <sheet name="Dialogue" sheetId="5" state="visible" r:id="rId7"/>
    <sheet name="Scenario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<sst xmlns="http://schemas.openxmlformats.org/spreadsheetml/2006/main" count="289" uniqueCount="226">
  <si>
    <t xml:space="preserve">Say It · lesson input workbook</t>
  </si>
  <si>
    <t xml:space="preserve">What this is</t>
  </si>
  <si>
    <t xml:space="preserve">One workbook per lesson. You supply verified content; the generator supplies structure. Everything here is content a teacher decides. Nothing here is timing, pause length, support level sequencing, or beat order — the method computes those.</t>
  </si>
  <si>
    <t xml:space="preserve">How to fill it</t>
  </si>
  <si>
    <t xml:space="preserve">Yellow cells are yours. Grey italic rows are worked examples from Lesson 1 — overwrite or delete them. Do not rename sheets, reorder columns, or change header text; the parser reads them by name.</t>
  </si>
  <si>
    <t xml:space="preserve">Sheets</t>
  </si>
  <si>
    <t xml:space="preserve">Lesson_Brief — the six decisions the word list cannot carry.
Items — one row per word or fixed chunk being taught.
Sentences — every French sentence, tagged with the ROLE it plays.
Dialogue — the connected input clip, heard cold then again at the end.
Scenarios — the Make It Yours situations.</t>
  </si>
  <si>
    <t xml:space="preserve">The role column</t>
  </si>
  <si>
    <t xml:space="preserve">This is the column that matters most. A flat list of sentences does not tell the generator which sentence is a build target, which is a model answer, and which is dialogue. Those obey different rules. An untagged sentence cannot be placed.</t>
  </si>
  <si>
    <t xml:space="preserve">Pre-flight</t>
  </si>
  <si>
    <t xml:space="preserve">Lesson_Brief has a CHECK block that runs live as you type. It catches the rule violations that are decidable from content alone, before anything reaches Gate A. Green means that rule will pass. It does not check French — that is on you.</t>
  </si>
  <si>
    <t xml:space="preserve">What it will not catch</t>
  </si>
  <si>
    <t xml:space="preserve">Whether your French is natural, whether a phonetic respelling is right, whether a culture note is true. Gate A checks that a form note EXISTS, never that it is correct. That remains a human job.</t>
  </si>
  <si>
    <t xml:space="preserve">Lesson brief</t>
  </si>
  <si>
    <t xml:space="preserve">Field</t>
  </si>
  <si>
    <t xml:space="preserve">Value</t>
  </si>
  <si>
    <t xml:space="preserve">Guidance</t>
  </si>
  <si>
    <t xml:space="preserve">lesson</t>
  </si>
  <si>
    <t xml:space="preserve">Integer. Drives the cumulative vocabulary gate.</t>
  </si>
  <si>
    <t xml:space="preserve">language</t>
  </si>
  <si>
    <t xml:space="preserve">fr</t>
  </si>
  <si>
    <t xml:space="preserve">fr / es / it / pt / de</t>
  </si>
  <si>
    <t xml:space="preserve">level</t>
  </si>
  <si>
    <t xml:space="preserve">A1</t>
  </si>
  <si>
    <t xml:space="preserve">A1 / A2 / B1</t>
  </si>
  <si>
    <t xml:space="preserve">class</t>
  </si>
  <si>
    <t xml:space="preserve">CALIBRATION</t>
  </si>
  <si>
    <t xml:space="preserve">CALIBRATION lessons 1-3 · STANDARD default · CONSOLIDATION every 5th, zero new items · MILESTONE every 10th, adds assessment</t>
  </si>
  <si>
    <t xml:space="preserve">can_do</t>
  </si>
  <si>
    <t xml:space="preserve">I can greet someone and take my leave, choosing the right formality and time of day.</t>
  </si>
  <si>
    <t xml:space="preserve">A capability, not a topic. Starts with 'I can'. 'Greetings' is not a can-do.</t>
  </si>
  <si>
    <t xml:space="preserve">frame</t>
  </si>
  <si>
    <t xml:space="preserve">[greeting], [person]. [courtesy] !</t>
  </si>
  <si>
    <t xml:space="preserve">The sentence skeleton the build ladder swaps through. Slots in square brackets.</t>
  </si>
  <si>
    <t xml:space="preserve">slots</t>
  </si>
  <si>
    <t xml:space="preserve">greeting, person, courtesy</t>
  </si>
  <si>
    <t xml:space="preserve">Slot names in English. These become the chunk bar labels shown at L3 and above.</t>
  </si>
  <si>
    <t xml:space="preserve">transfer_situation</t>
  </si>
  <si>
    <t xml:space="preserve">A stranger holds an umbrella over you in the rain.</t>
  </si>
  <si>
    <t xml:space="preserve">Must be solvable from taught items only, and must not appear anywhere else in the lesson. This is the lesson's real test.</t>
  </si>
  <si>
    <t xml:space="preserve">culture_note</t>
  </si>
  <si>
    <t xml:space="preserve">In France bonjour is not optional. Entering a shop and asking a question without it reads as rude. Greet first, then ask.</t>
  </si>
  <si>
    <t xml:space="preserve">One pragmatics point. Something a learner would get wrong without being told.</t>
  </si>
  <si>
    <t xml:space="preserve">writing_note</t>
  </si>
  <si>
    <t xml:space="preserve">s'il vous plaît takes an apostrophe straight after the s. à bientôt carries two accents.</t>
  </si>
  <si>
    <t xml:space="preserve">Orthography the learner needs when writing their own sentences. Leave blank if none.</t>
  </si>
  <si>
    <t xml:space="preserve">comprehension_q</t>
  </si>
  <si>
    <t xml:space="preserve">How many people are speaking, and where are they?</t>
  </si>
  <si>
    <t xml:space="preserve">One question in English about the cold-input clip. Answered in English.</t>
  </si>
  <si>
    <t xml:space="preserve">CHECK — live pre-flight</t>
  </si>
  <si>
    <t xml:space="preserve">Rule</t>
  </si>
  <si>
    <t xml:space="preserve">Measured</t>
  </si>
  <si>
    <t xml:space="preserve">Required</t>
  </si>
  <si>
    <t xml:space="preserve">Status</t>
  </si>
  <si>
    <t xml:space="preserve">A-04 item count</t>
  </si>
  <si>
    <t xml:space="preserve">10 to 14 for A1 lessons 1-5</t>
  </si>
  <si>
    <t xml:space="preserve">X-02 items at L4+</t>
  </si>
  <si>
    <t xml:space="preserve">at least 30% of items</t>
  </si>
  <si>
    <t xml:space="preserve">X-03 item at L5</t>
  </si>
  <si>
    <t xml:space="preserve">at least 1</t>
  </si>
  <si>
    <t xml:space="preserve">A-05 form notes</t>
  </si>
  <si>
    <t xml:space="preserve">one per item</t>
  </si>
  <si>
    <t xml:space="preserve">S-09 scenarios</t>
  </si>
  <si>
    <t xml:space="preserve">at least 3</t>
  </si>
  <si>
    <t xml:space="preserve">S-10 personalized</t>
  </si>
  <si>
    <t xml:space="preserve">S-05 cold build steps</t>
  </si>
  <si>
    <t xml:space="preserve">at least 2 TRY-FIRST</t>
  </si>
  <si>
    <t xml:space="preserve">S-04 build steps</t>
  </si>
  <si>
    <t xml:space="preserve">at least 4</t>
  </si>
  <si>
    <t xml:space="preserve">A-03 dialogue lines</t>
  </si>
  <si>
    <t xml:space="preserve">4 to 8 lines for A1 early</t>
  </si>
  <si>
    <t xml:space="preserve">V-01 model answers</t>
  </si>
  <si>
    <t xml:space="preserve">one per scenario</t>
  </si>
  <si>
    <t xml:space="preserve">order</t>
  </si>
  <si>
    <t xml:space="preserve">en</t>
  </si>
  <si>
    <t xml:space="preserve">phonetic</t>
  </si>
  <si>
    <t xml:space="preserve">form_note (the ONE hardest thing)</t>
  </si>
  <si>
    <t xml:space="preserve">target_level</t>
  </si>
  <si>
    <t xml:space="preserve">chunked_echo</t>
  </si>
  <si>
    <t xml:space="preserve">image_brief</t>
  </si>
  <si>
    <t xml:space="preserve">bonjour</t>
  </si>
  <si>
    <t xml:space="preserve">hello / good morning</t>
  </si>
  <si>
    <t xml:space="preserve">bohn-ZHOOR</t>
  </si>
  <si>
    <t xml:space="preserve">The on is nasal. Air through the nose, no hard N at the end.</t>
  </si>
  <si>
    <t xml:space="preserve">L4</t>
  </si>
  <si>
    <t xml:space="preserve">N</t>
  </si>
  <si>
    <t xml:space="preserve">Person waving in a morning street</t>
  </si>
  <si>
    <t xml:space="preserve">salut</t>
  </si>
  <si>
    <t xml:space="preserve">hi / bye, casual</t>
  </si>
  <si>
    <t xml:space="preserve">sa-LOO</t>
  </si>
  <si>
    <t xml:space="preserve">Final t is silent.</t>
  </si>
  <si>
    <t xml:space="preserve">Two friends, casual wave</t>
  </si>
  <si>
    <t xml:space="preserve">merci</t>
  </si>
  <si>
    <t xml:space="preserve">thank you</t>
  </si>
  <si>
    <t xml:space="preserve">mair-SEE</t>
  </si>
  <si>
    <t xml:space="preserve">R comes from the back of the throat, not the tongue tip.</t>
  </si>
  <si>
    <t xml:space="preserve">Hand receiving a coffee</t>
  </si>
  <si>
    <t xml:space="preserve">s'il vous plaît</t>
  </si>
  <si>
    <t xml:space="preserve">please</t>
  </si>
  <si>
    <t xml:space="preserve">seel voo PLEH</t>
  </si>
  <si>
    <t xml:space="preserve">Three words, said as one. Final t silent.</t>
  </si>
  <si>
    <t xml:space="preserve">Y</t>
  </si>
  <si>
    <t xml:space="preserve">Pointing at a menu item</t>
  </si>
  <si>
    <t xml:space="preserve">oui</t>
  </si>
  <si>
    <t xml:space="preserve">yes</t>
  </si>
  <si>
    <t xml:space="preserve">wee</t>
  </si>
  <si>
    <t xml:space="preserve">One syllable, not oo-ee.</t>
  </si>
  <si>
    <t xml:space="preserve">L3</t>
  </si>
  <si>
    <t xml:space="preserve">Nod</t>
  </si>
  <si>
    <t xml:space="preserve">non</t>
  </si>
  <si>
    <t xml:space="preserve">no</t>
  </si>
  <si>
    <t xml:space="preserve">nohn</t>
  </si>
  <si>
    <t xml:space="preserve">Nasal, like bonjour. No hard N.</t>
  </si>
  <si>
    <t xml:space="preserve">Head shake</t>
  </si>
  <si>
    <t xml:space="preserve">au revoir</t>
  </si>
  <si>
    <t xml:space="preserve">goodbye</t>
  </si>
  <si>
    <t xml:space="preserve">oh ruh-VWAHR</t>
  </si>
  <si>
    <t xml:space="preserve">voir rhymes with swahr, not war.</t>
  </si>
  <si>
    <t xml:space="preserve">Waving from a doorway</t>
  </si>
  <si>
    <t xml:space="preserve">madame</t>
  </si>
  <si>
    <t xml:space="preserve">ma'am</t>
  </si>
  <si>
    <t xml:space="preserve">ma-DAM</t>
  </si>
  <si>
    <t xml:space="preserve">Final e is silent.</t>
  </si>
  <si>
    <t xml:space="preserve">Woman, neutral</t>
  </si>
  <si>
    <t xml:space="preserve">monsieur</t>
  </si>
  <si>
    <t xml:space="preserve">sir</t>
  </si>
  <si>
    <t xml:space="preserve">muh-SYUH</t>
  </si>
  <si>
    <t xml:space="preserve">Spelled with o and n, said muh. Ignore the spelling.</t>
  </si>
  <si>
    <t xml:space="preserve">Man, neutral</t>
  </si>
  <si>
    <t xml:space="preserve">bonsoir</t>
  </si>
  <si>
    <t xml:space="preserve">good evening</t>
  </si>
  <si>
    <t xml:space="preserve">bohn-SWAHR</t>
  </si>
  <si>
    <t xml:space="preserve">Same nasal bon as bonjour, only the ending changes.</t>
  </si>
  <si>
    <t xml:space="preserve">Evening street, lit windows</t>
  </si>
  <si>
    <t xml:space="preserve">pardon</t>
  </si>
  <si>
    <t xml:space="preserve">excuse me / sorry</t>
  </si>
  <si>
    <t xml:space="preserve">par-DOHN</t>
  </si>
  <si>
    <t xml:space="preserve">Nasal ending. par-DOHN, not par-DON.</t>
  </si>
  <si>
    <t xml:space="preserve">Bumping shoulders on a street</t>
  </si>
  <si>
    <t xml:space="preserve">à bientôt</t>
  </si>
  <si>
    <t xml:space="preserve">see you soon</t>
  </si>
  <si>
    <t xml:space="preserve">ah byan-TOH</t>
  </si>
  <si>
    <t xml:space="preserve">Final t silent. Used only for someone you will actually see again.</t>
  </si>
  <si>
    <t xml:space="preserve">L5</t>
  </si>
  <si>
    <t xml:space="preserve">Leaving a cafe, looking back</t>
  </si>
  <si>
    <t xml:space="preserve">id</t>
  </si>
  <si>
    <t xml:space="preserve">role</t>
  </si>
  <si>
    <t xml:space="preserve">build_step</t>
  </si>
  <si>
    <t xml:space="preserve">slot_changed</t>
  </si>
  <si>
    <t xml:space="preserve">try_first</t>
  </si>
  <si>
    <t xml:space="preserve">scenario_ref</t>
  </si>
  <si>
    <t xml:space="preserve">s01</t>
  </si>
  <si>
    <t xml:space="preserve">Bonjour.</t>
  </si>
  <si>
    <t xml:space="preserve">Hello.</t>
  </si>
  <si>
    <t xml:space="preserve">BUILD_STEP</t>
  </si>
  <si>
    <t xml:space="preserve">greeting</t>
  </si>
  <si>
    <t xml:space="preserve">ROLE decides placement. BUILD_STEP fills the build ladder in build_step order; try_first = Y means the learner produces it with no model first. MIY_MODEL is the answer shown after a Make It Yours pause — scenario_ref points at Scenarios. TRANSFER_MODEL answers the transfer task. FLUENCY sentences run three times at shrinking pauses and must contain no new items.</t>
  </si>
  <si>
    <t xml:space="preserve">s02</t>
  </si>
  <si>
    <t xml:space="preserve">Bonjour, madame.</t>
  </si>
  <si>
    <t xml:space="preserve">Hello, ma'am.</t>
  </si>
  <si>
    <t xml:space="preserve">person</t>
  </si>
  <si>
    <t xml:space="preserve">s03</t>
  </si>
  <si>
    <t xml:space="preserve">Bonjour, monsieur.</t>
  </si>
  <si>
    <t xml:space="preserve">Hello, sir.</t>
  </si>
  <si>
    <t xml:space="preserve">s04</t>
  </si>
  <si>
    <t xml:space="preserve">Bonjour, madame. Merci !</t>
  </si>
  <si>
    <t xml:space="preserve">Hello, ma'am. Thank you!</t>
  </si>
  <si>
    <t xml:space="preserve">courtesy</t>
  </si>
  <si>
    <t xml:space="preserve">s05</t>
  </si>
  <si>
    <t xml:space="preserve">Au revoir, madame. Merci !</t>
  </si>
  <si>
    <t xml:space="preserve">Goodbye, ma'am. Thank you!</t>
  </si>
  <si>
    <t xml:space="preserve">s06</t>
  </si>
  <si>
    <t xml:space="preserve">Bonsoir, monsieur. Merci !</t>
  </si>
  <si>
    <t xml:space="preserve">Good evening, sir. Thank you!</t>
  </si>
  <si>
    <t xml:space="preserve">greeting + person</t>
  </si>
  <si>
    <t xml:space="preserve">s07</t>
  </si>
  <si>
    <t xml:space="preserve">MIY_MODEL</t>
  </si>
  <si>
    <t xml:space="preserve">s08</t>
  </si>
  <si>
    <t xml:space="preserve">Merci, madame. À bientôt !</t>
  </si>
  <si>
    <t xml:space="preserve">Thank you, ma'am. See you soon!</t>
  </si>
  <si>
    <t xml:space="preserve">s09</t>
  </si>
  <si>
    <t xml:space="preserve">Pardon, monsieur ! Bonjour.</t>
  </si>
  <si>
    <t xml:space="preserve">Excuse me, sir! Hello.</t>
  </si>
  <si>
    <t xml:space="preserve">s10</t>
  </si>
  <si>
    <t xml:space="preserve">Bonsoir, monsieur. S'il vous plaît... Merci !</t>
  </si>
  <si>
    <t xml:space="preserve">Good evening, sir. Please... Thank you!</t>
  </si>
  <si>
    <t xml:space="preserve">s11</t>
  </si>
  <si>
    <t xml:space="preserve">Merci, madame.</t>
  </si>
  <si>
    <t xml:space="preserve">Thank you, ma'am.</t>
  </si>
  <si>
    <t xml:space="preserve">TRANSFER_MODEL</t>
  </si>
  <si>
    <t xml:space="preserve">s12</t>
  </si>
  <si>
    <t xml:space="preserve">FLUENCY</t>
  </si>
  <si>
    <t xml:space="preserve">s13</t>
  </si>
  <si>
    <t xml:space="preserve">Bonsoir, monsieur. Au revoir !</t>
  </si>
  <si>
    <t xml:space="preserve">Good evening, sir. Goodbye!</t>
  </si>
  <si>
    <t xml:space="preserve">s14</t>
  </si>
  <si>
    <t xml:space="preserve">Pardon ! À bientôt.</t>
  </si>
  <si>
    <t xml:space="preserve">Excuse me! See you soon.</t>
  </si>
  <si>
    <t xml:space="preserve">line</t>
  </si>
  <si>
    <t xml:space="preserve">speaker</t>
  </si>
  <si>
    <t xml:space="preserve">en_reference (not spoken)</t>
  </si>
  <si>
    <t xml:space="preserve">note</t>
  </si>
  <si>
    <t xml:space="preserve">FR·WOMAN</t>
  </si>
  <si>
    <t xml:space="preserve">Customer enters</t>
  </si>
  <si>
    <t xml:space="preserve">Played once before any teaching, and once again unchanged at the end. The gap between what the learner understands the first time and the second is the lesson's own evidence of gain. Use only words from this lesson plus earlier lessons.</t>
  </si>
  <si>
    <t xml:space="preserve">FR·MAN</t>
  </si>
  <si>
    <t xml:space="preserve">Shopkeeper</t>
  </si>
  <si>
    <t xml:space="preserve">S'il vous plaît... merci.</t>
  </si>
  <si>
    <t xml:space="preserve">Please... thank you.</t>
  </si>
  <si>
    <t xml:space="preserve">She leaves</t>
  </si>
  <si>
    <t xml:space="preserve">Au revoir !</t>
  </si>
  <si>
    <t xml:space="preserve">Goodbye!</t>
  </si>
  <si>
    <t xml:space="preserve">n</t>
  </si>
  <si>
    <t xml:space="preserve">situation (English, target NOT named)</t>
  </si>
  <si>
    <t xml:space="preserve">personalized</t>
  </si>
  <si>
    <t xml:space="preserve">word_bank (English glosses only)</t>
  </si>
  <si>
    <t xml:space="preserve">model_sentence_id</t>
  </si>
  <si>
    <t xml:space="preserve">You walk into a bakery. A woman is behind the counter. Greet her using whichever greeting fits the time where you are right now, and thank her.</t>
  </si>
  <si>
    <t xml:space="preserve">hello, good evening, ma'am, sir, thank you</t>
  </si>
  <si>
    <t xml:space="preserve">Never name the target sentence. The learner builds it. Word banks list ENGLISH glosses — showing the French turns production into copying. Personalized means anchored to the learner's own life: their city, their morning, their job.</t>
  </si>
  <si>
    <t xml:space="preserve">You are leaving that same bakery and will be back tomorrow. Thank her and say goodbye in a way that means you will see her again.</t>
  </si>
  <si>
    <t xml:space="preserve">thank you, goodbye, see you soon, ma'am</t>
  </si>
  <si>
    <t xml:space="preserve">You bump into a man on the street by accident. Apologize, then greet him.</t>
  </si>
  <si>
    <t xml:space="preserve">excuse me, hello, good evening, sir</t>
  </si>
  <si>
    <t xml:space="preserve">Evening. You walk into a hotel and the man at the desk greets you first. Greet him back, ask for something politely, and thank him.</t>
  </si>
  <si>
    <t xml:space="preserve">good evening, sir, please, thank you</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</si>
</sst>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7A7A7A"/>
      <name val="Arial"/>
      <family val="0"/>
      <charset val="1"/>
    </font>
  </fonts>
  <fills count="4">
    <fill>
      <patternFill patternType="none"/>
    </fill>
    <fill>
      <patternFill patternType="gray125"/>
    </fill>
    <fill>
      <patternFill patternType="solid">
        <fgColor rgb="FF2E4FE0"/>
        <bgColor rgb="FF0066CC"/>
      </patternFill>
    </fill>
    <fill>
      <patternFill patternType="solid">
        <fgColor rgb="FFFFF9D6"/>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7A7A"/>
      <rgbColor rgb="FF9999FF"/>
      <rgbColor rgb="FF993366"/>
      <rgbColor rgb="FFFFF9D6"/>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4FE0"/>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4"/>
  </cols>
  <sheetData>
    <row r="1" customFormat="false" ht="16.15" hidden="false" customHeight="false" outlineLevel="0" collapsed="false">
      <c r="A1" s="1" t="s">
        <v>0</v>
      </c>
    </row>
    <row r="3" customFormat="false" ht="15" hidden="false" customHeight="true" outlineLevel="0" collapsed="false">
      <c r="A3" s="2"/>
      <c r="B3" s="3"/>
    </row>
    <row r="4" customFormat="false" ht="39" hidden="false" customHeight="true" outlineLevel="0" collapsed="false">
      <c r="A4" s="2" t="s">
        <v>1</v>
      </c>
      <c r="B4" s="3" t="s">
        <v>2</v>
      </c>
    </row>
    <row r="5" customFormat="false" ht="25.5" hidden="false" customHeight="true" outlineLevel="0" collapsed="false">
      <c r="A5" s="2" t="s">
        <v>3</v>
      </c>
      <c r="B5" s="3" t="s">
        <v>4</v>
      </c>
    </row>
    <row r="6" customFormat="false" ht="90.75" hidden="false" customHeight="true" outlineLevel="0" collapsed="false">
      <c r="A6" s="2" t="s">
        <v>5</v>
      </c>
      <c r="B6" s="3" t="s">
        <v>6</v>
      </c>
    </row>
    <row r="7" customFormat="false" ht="39" hidden="false" customHeight="true" outlineLevel="0" collapsed="false">
      <c r="A7" s="2" t="s">
        <v>7</v>
      </c>
      <c r="B7" s="3" t="s">
        <v>8</v>
      </c>
    </row>
    <row r="8" customFormat="false" ht="39" hidden="false" customHeight="true" outlineLevel="0" collapsed="false">
      <c r="A8" s="2" t="s">
        <v>9</v>
      </c>
      <c r="B8" s="3" t="s">
        <v>10</v>
      </c>
    </row>
    <row r="9" customFormat="false" ht="25.5" hidden="false" customHeight="true" outlineLevel="0" collapsed="false">
      <c r="A9" s="2" t="s">
        <v>11</v>
      </c>
      <c r="B9"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30"/>
    <col collapsed="false" customWidth="true" hidden="false" outlineLevel="0" max="4" min="4" style="0" width="46"/>
  </cols>
  <sheetData>
    <row r="1" customFormat="false" ht="16.15" hidden="false" customHeight="false" outlineLevel="0" collapsed="false">
      <c r="A1" s="1" t="s">
        <v>13</v>
      </c>
    </row>
    <row r="3" customFormat="false" ht="30" hidden="false" customHeight="true" outlineLevel="0" collapsed="false">
      <c r="A3" s="4" t="s">
        <v>14</v>
      </c>
      <c r="B3" s="4" t="s">
        <v>15</v>
      </c>
      <c r="C3" s="4" t="s">
        <v>16</v>
      </c>
    </row>
    <row r="4" customFormat="false" ht="30" hidden="false" customHeight="true" outlineLevel="0" collapsed="false">
      <c r="A4" s="5" t="s">
        <v>17</v>
      </c>
      <c r="B4" s="6" t="n">
        <v>1</v>
      </c>
      <c r="C4" s="7" t="s">
        <v>18</v>
      </c>
    </row>
    <row r="5" customFormat="false" ht="30" hidden="false" customHeight="true" outlineLevel="0" collapsed="false">
      <c r="A5" s="5" t="s">
        <v>19</v>
      </c>
      <c r="B5" s="6" t="s">
        <v>20</v>
      </c>
      <c r="C5" s="7" t="s">
        <v>21</v>
      </c>
    </row>
    <row r="6" customFormat="false" ht="30" hidden="false" customHeight="true" outlineLevel="0" collapsed="false">
      <c r="A6" s="5" t="s">
        <v>22</v>
      </c>
      <c r="B6" s="6" t="s">
        <v>23</v>
      </c>
      <c r="C6" s="7" t="s">
        <v>24</v>
      </c>
    </row>
    <row r="7" customFormat="false" ht="30" hidden="false" customHeight="true" outlineLevel="0" collapsed="false">
      <c r="A7" s="5" t="s">
        <v>25</v>
      </c>
      <c r="B7" s="6" t="s">
        <v>26</v>
      </c>
      <c r="C7" s="7" t="s">
        <v>27</v>
      </c>
    </row>
    <row r="8" customFormat="false" ht="30" hidden="false" customHeight="true" outlineLevel="0" collapsed="false">
      <c r="A8" s="5" t="s">
        <v>28</v>
      </c>
      <c r="B8" s="6" t="s">
        <v>29</v>
      </c>
      <c r="C8" s="7" t="s">
        <v>30</v>
      </c>
    </row>
    <row r="9" customFormat="false" ht="30" hidden="false" customHeight="true" outlineLevel="0" collapsed="false">
      <c r="A9" s="5" t="s">
        <v>31</v>
      </c>
      <c r="B9" s="6" t="s">
        <v>32</v>
      </c>
      <c r="C9" s="7" t="s">
        <v>33</v>
      </c>
    </row>
    <row r="10" customFormat="false" ht="30" hidden="false" customHeight="true" outlineLevel="0" collapsed="false">
      <c r="A10" s="5" t="s">
        <v>34</v>
      </c>
      <c r="B10" s="6" t="s">
        <v>35</v>
      </c>
      <c r="C10" s="7" t="s">
        <v>36</v>
      </c>
    </row>
    <row r="11" customFormat="false" ht="30" hidden="false" customHeight="true" outlineLevel="0" collapsed="false">
      <c r="A11" s="5" t="s">
        <v>37</v>
      </c>
      <c r="B11" s="6" t="s">
        <v>38</v>
      </c>
      <c r="C11" s="7" t="s">
        <v>39</v>
      </c>
    </row>
    <row r="12" customFormat="false" ht="30" hidden="false" customHeight="true" outlineLevel="0" collapsed="false">
      <c r="A12" s="5" t="s">
        <v>40</v>
      </c>
      <c r="B12" s="6" t="s">
        <v>41</v>
      </c>
      <c r="C12" s="7" t="s">
        <v>42</v>
      </c>
    </row>
    <row r="13" customFormat="false" ht="30" hidden="false" customHeight="true" outlineLevel="0" collapsed="false">
      <c r="A13" s="5" t="s">
        <v>43</v>
      </c>
      <c r="B13" s="6" t="s">
        <v>44</v>
      </c>
      <c r="C13" s="7" t="s">
        <v>45</v>
      </c>
    </row>
    <row r="14" customFormat="false" ht="30" hidden="false" customHeight="true" outlineLevel="0" collapsed="false">
      <c r="A14" s="5" t="s">
        <v>46</v>
      </c>
      <c r="B14" s="6" t="s">
        <v>47</v>
      </c>
      <c r="C14" s="7" t="s">
        <v>48</v>
      </c>
    </row>
    <row r="17" customFormat="false" ht="16.15" hidden="false" customHeight="false" outlineLevel="0" collapsed="false">
      <c r="A17" s="1" t="s">
        <v>49</v>
      </c>
    </row>
    <row r="19" customFormat="false" ht="30" hidden="false" customHeight="true" outlineLevel="0" collapsed="false">
      <c r="A19" s="4" t="s">
        <v>50</v>
      </c>
      <c r="B19" s="4" t="s">
        <v>51</v>
      </c>
      <c r="C19" s="4" t="s">
        <v>52</v>
      </c>
      <c r="D19" s="4" t="s">
        <v>53</v>
      </c>
    </row>
    <row r="20" customFormat="false" ht="15" hidden="false" customHeight="false" outlineLevel="0" collapsed="false">
      <c r="A20" s="8" t="s">
        <v>54</v>
      </c>
      <c r="B20" s="8" t="n">
        <f aca="false">COUNTA(Items!B2:B200)</f>
        <v>12</v>
      </c>
      <c r="C20" s="7" t="s">
        <v>55</v>
      </c>
      <c r="D20" s="9" t="str">
        <f aca="false">IF(AND(B20&gt;=10,B20&lt;=14),"PASS","CHECK")</f>
        <v>PASS</v>
      </c>
    </row>
    <row r="21" customFormat="false" ht="15" hidden="false" customHeight="false" outlineLevel="0" collapsed="false">
      <c r="A21" s="8" t="s">
        <v>56</v>
      </c>
      <c r="B21" s="8" t="n">
        <f aca="false">COUNTIF(Items!F2:F200,"L4")+COUNTIF(Items!F2:F200,"L5")</f>
        <v>8</v>
      </c>
      <c r="C21" s="7" t="s">
        <v>57</v>
      </c>
      <c r="D21" s="9" t="str">
        <f aca="false">IF(B21&gt;=0.3*B20,"PASS","FAIL - promote more items to L4")</f>
        <v>PASS</v>
      </c>
    </row>
    <row r="22" customFormat="false" ht="15" hidden="false" customHeight="false" outlineLevel="0" collapsed="false">
      <c r="A22" s="8" t="s">
        <v>58</v>
      </c>
      <c r="B22" s="8" t="n">
        <f aca="false">COUNTIF(Items!F2:F200,"L5")</f>
        <v>1</v>
      </c>
      <c r="C22" s="7" t="s">
        <v>59</v>
      </c>
      <c r="D22" s="9" t="str">
        <f aca="false">IF(B22&gt;=1,"PASS","FAIL - one item must reach L5")</f>
        <v>PASS</v>
      </c>
    </row>
    <row r="23" customFormat="false" ht="15" hidden="false" customHeight="false" outlineLevel="0" collapsed="false">
      <c r="A23" s="8" t="s">
        <v>60</v>
      </c>
      <c r="B23" s="8" t="n">
        <f aca="false">COUNTA(Items!E2:E200)</f>
        <v>12</v>
      </c>
      <c r="C23" s="7" t="s">
        <v>61</v>
      </c>
      <c r="D23" s="9" t="str">
        <f aca="false">IF(B23&gt;=B20,"PASS","FAIL - every item needs a form note")</f>
        <v>PASS</v>
      </c>
    </row>
    <row r="24" customFormat="false" ht="15" hidden="false" customHeight="false" outlineLevel="0" collapsed="false">
      <c r="A24" s="8" t="s">
        <v>62</v>
      </c>
      <c r="B24" s="8" t="n">
        <f aca="false">COUNTA(Scenarios!B2:B50)</f>
        <v>4</v>
      </c>
      <c r="C24" s="7" t="s">
        <v>63</v>
      </c>
      <c r="D24" s="9" t="str">
        <f aca="false">IF(B24&gt;=3,"PASS","FAIL - add Make It Yours scenarios")</f>
        <v>PASS</v>
      </c>
    </row>
    <row r="25" customFormat="false" ht="15" hidden="false" customHeight="false" outlineLevel="0" collapsed="false">
      <c r="A25" s="8" t="s">
        <v>64</v>
      </c>
      <c r="B25" s="8" t="n">
        <f aca="false">COUNTIF(Scenarios!C2:C50,"Y")</f>
        <v>1</v>
      </c>
      <c r="C25" s="7" t="s">
        <v>59</v>
      </c>
      <c r="D25" s="9" t="str">
        <f aca="false">IF(B25&gt;=1,"PASS","FAIL - one scenario must be personalized")</f>
        <v>PASS</v>
      </c>
    </row>
    <row r="26" customFormat="false" ht="15" hidden="false" customHeight="false" outlineLevel="0" collapsed="false">
      <c r="A26" s="8" t="s">
        <v>65</v>
      </c>
      <c r="B26" s="8" t="n">
        <f aca="false">COUNTIF(Sentences!G2:G200,"Y")</f>
        <v>3</v>
      </c>
      <c r="C26" s="7" t="s">
        <v>66</v>
      </c>
      <c r="D26" s="9" t="str">
        <f aca="false">IF(B26&gt;=2,"PASS","FAIL - mark more build steps try_first")</f>
        <v>PASS</v>
      </c>
    </row>
    <row r="27" customFormat="false" ht="15" hidden="false" customHeight="false" outlineLevel="0" collapsed="false">
      <c r="A27" s="8" t="s">
        <v>67</v>
      </c>
      <c r="B27" s="8" t="n">
        <f aca="false">COUNTIF(Sentences!D2:D200,"BUILD_STEP")</f>
        <v>6</v>
      </c>
      <c r="C27" s="7" t="s">
        <v>68</v>
      </c>
      <c r="D27" s="9" t="str">
        <f aca="false">IF(B27&gt;=4,"PASS","CHECK - thin build ladder")</f>
        <v>PASS</v>
      </c>
    </row>
    <row r="28" customFormat="false" ht="15" hidden="false" customHeight="false" outlineLevel="0" collapsed="false">
      <c r="A28" s="8" t="s">
        <v>69</v>
      </c>
      <c r="B28" s="8" t="n">
        <f aca="false">COUNTA(Dialogue!C2:C50)</f>
        <v>5</v>
      </c>
      <c r="C28" s="7" t="s">
        <v>70</v>
      </c>
      <c r="D28" s="9" t="str">
        <f aca="false">IF(AND(B28&gt;=4,B28&lt;=8),"PASS","CHECK")</f>
        <v>PASS</v>
      </c>
    </row>
    <row r="29" customFormat="false" ht="15" hidden="false" customHeight="false" outlineLevel="0" collapsed="false">
      <c r="A29" s="8" t="s">
        <v>71</v>
      </c>
      <c r="B29" s="8" t="n">
        <f aca="false">COUNTIF(Sentences!D2:D200,"MIY_MODEL")</f>
        <v>4</v>
      </c>
      <c r="C29" s="7" t="s">
        <v>72</v>
      </c>
      <c r="D29" s="9" t="str">
        <f aca="false">IF(B29&gt;=B24,"PASS","FAIL - every scenario needs a model answer")</f>
        <v>PASS</v>
      </c>
    </row>
  </sheetData>
  <dataValidations count="3">
    <dataValidation allowBlank="true" errorStyle="stop" operator="between" showDropDown="false" showErrorMessage="false" showInputMessage="false" sqref="B7" type="list">
      <formula1>"CALIBRATION,STANDARD,CONSOLIDATION,MILESTONE"</formula1>
      <formula2>0</formula2>
    </dataValidation>
    <dataValidation allowBlank="true" errorStyle="stop" operator="between" showDropDown="false" showErrorMessage="false" showInputMessage="false" sqref="B6" type="list">
      <formula1>"A1,A2,B1"</formula1>
      <formula2>0</formula2>
    </dataValidation>
    <dataValidation allowBlank="true" errorStyle="stop" operator="between" showDropDown="false" showErrorMessage="false" showInputMessage="false" sqref="B5" type="list">
      <formula1>"fr,es,it,pt,de"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20"/>
    <col collapsed="false" customWidth="true" hidden="false" outlineLevel="0" max="4" min="4" style="0" width="18"/>
    <col collapsed="false" customWidth="true" hidden="false" outlineLevel="0" max="5" min="5" style="0" width="46"/>
    <col collapsed="false" customWidth="true" hidden="false" outlineLevel="0" max="7" min="6" style="0" width="13"/>
    <col collapsed="false" customWidth="true" hidden="false" outlineLevel="0" max="8" min="8" style="0" width="42"/>
  </cols>
  <sheetData>
    <row r="1" customFormat="false" ht="30" hidden="false" customHeight="true" outlineLevel="0" collapsed="false">
      <c r="A1" s="4" t="s">
        <v>73</v>
      </c>
      <c r="B1" s="4" t="s">
        <v>20</v>
      </c>
      <c r="C1" s="4" t="s">
        <v>74</v>
      </c>
      <c r="D1" s="4" t="s">
        <v>75</v>
      </c>
      <c r="E1" s="4" t="s">
        <v>76</v>
      </c>
      <c r="F1" s="4" t="s">
        <v>77</v>
      </c>
      <c r="G1" s="4" t="s">
        <v>78</v>
      </c>
      <c r="H1" s="4" t="s">
        <v>79</v>
      </c>
    </row>
    <row r="2" customFormat="false" ht="23.85" hidden="false" customHeight="false" outlineLevel="0" collapsed="false">
      <c r="A2" s="6" t="n">
        <v>1</v>
      </c>
      <c r="B2" s="6" t="s">
        <v>80</v>
      </c>
      <c r="C2" s="6" t="s">
        <v>81</v>
      </c>
      <c r="D2" s="6" t="s">
        <v>82</v>
      </c>
      <c r="E2" s="6" t="s">
        <v>83</v>
      </c>
      <c r="F2" s="6" t="s">
        <v>84</v>
      </c>
      <c r="G2" s="6" t="s">
        <v>85</v>
      </c>
      <c r="H2" s="6" t="s">
        <v>86</v>
      </c>
    </row>
    <row r="3" customFormat="false" ht="15" hidden="false" customHeight="false" outlineLevel="0" collapsed="false">
      <c r="A3" s="6" t="n">
        <v>2</v>
      </c>
      <c r="B3" s="6" t="s">
        <v>87</v>
      </c>
      <c r="C3" s="6" t="s">
        <v>88</v>
      </c>
      <c r="D3" s="6" t="s">
        <v>89</v>
      </c>
      <c r="E3" s="6" t="s">
        <v>90</v>
      </c>
      <c r="F3" s="6" t="s">
        <v>84</v>
      </c>
      <c r="G3" s="6" t="s">
        <v>85</v>
      </c>
      <c r="H3" s="6" t="s">
        <v>91</v>
      </c>
    </row>
    <row r="4" customFormat="false" ht="15" hidden="false" customHeight="false" outlineLevel="0" collapsed="false">
      <c r="A4" s="6" t="n">
        <v>3</v>
      </c>
      <c r="B4" s="6" t="s">
        <v>92</v>
      </c>
      <c r="C4" s="6" t="s">
        <v>93</v>
      </c>
      <c r="D4" s="6" t="s">
        <v>94</v>
      </c>
      <c r="E4" s="6" t="s">
        <v>95</v>
      </c>
      <c r="F4" s="6" t="s">
        <v>84</v>
      </c>
      <c r="G4" s="6" t="s">
        <v>85</v>
      </c>
      <c r="H4" s="6" t="s">
        <v>96</v>
      </c>
    </row>
    <row r="5" customFormat="false" ht="15" hidden="false" customHeight="false" outlineLevel="0" collapsed="false">
      <c r="A5" s="6" t="n">
        <v>4</v>
      </c>
      <c r="B5" s="6" t="s">
        <v>97</v>
      </c>
      <c r="C5" s="6" t="s">
        <v>98</v>
      </c>
      <c r="D5" s="6" t="s">
        <v>99</v>
      </c>
      <c r="E5" s="6" t="s">
        <v>100</v>
      </c>
      <c r="F5" s="6" t="s">
        <v>84</v>
      </c>
      <c r="G5" s="6" t="s">
        <v>101</v>
      </c>
      <c r="H5" s="6" t="s">
        <v>102</v>
      </c>
    </row>
    <row r="6" customFormat="false" ht="15" hidden="false" customHeight="false" outlineLevel="0" collapsed="false">
      <c r="A6" s="6" t="n">
        <v>5</v>
      </c>
      <c r="B6" s="6" t="s">
        <v>103</v>
      </c>
      <c r="C6" s="6" t="s">
        <v>104</v>
      </c>
      <c r="D6" s="6" t="s">
        <v>105</v>
      </c>
      <c r="E6" s="6" t="s">
        <v>106</v>
      </c>
      <c r="F6" s="6" t="s">
        <v>107</v>
      </c>
      <c r="G6" s="6" t="s">
        <v>85</v>
      </c>
      <c r="H6" s="6" t="s">
        <v>108</v>
      </c>
    </row>
    <row r="7" customFormat="false" ht="15" hidden="false" customHeight="false" outlineLevel="0" collapsed="false">
      <c r="A7" s="6" t="n">
        <v>6</v>
      </c>
      <c r="B7" s="6" t="s">
        <v>109</v>
      </c>
      <c r="C7" s="6" t="s">
        <v>110</v>
      </c>
      <c r="D7" s="6" t="s">
        <v>111</v>
      </c>
      <c r="E7" s="6" t="s">
        <v>112</v>
      </c>
      <c r="F7" s="6" t="s">
        <v>107</v>
      </c>
      <c r="G7" s="6" t="s">
        <v>85</v>
      </c>
      <c r="H7" s="6" t="s">
        <v>113</v>
      </c>
    </row>
    <row r="8" customFormat="false" ht="15" hidden="false" customHeight="false" outlineLevel="0" collapsed="false">
      <c r="A8" s="6" t="n">
        <v>7</v>
      </c>
      <c r="B8" s="6" t="s">
        <v>114</v>
      </c>
      <c r="C8" s="6" t="s">
        <v>115</v>
      </c>
      <c r="D8" s="6" t="s">
        <v>116</v>
      </c>
      <c r="E8" s="6" t="s">
        <v>117</v>
      </c>
      <c r="F8" s="6" t="s">
        <v>84</v>
      </c>
      <c r="G8" s="6" t="s">
        <v>101</v>
      </c>
      <c r="H8" s="6" t="s">
        <v>118</v>
      </c>
    </row>
    <row r="9" customFormat="false" ht="15" hidden="false" customHeight="false" outlineLevel="0" collapsed="false">
      <c r="A9" s="6" t="n">
        <v>8</v>
      </c>
      <c r="B9" s="6" t="s">
        <v>119</v>
      </c>
      <c r="C9" s="6" t="s">
        <v>120</v>
      </c>
      <c r="D9" s="6" t="s">
        <v>121</v>
      </c>
      <c r="E9" s="6" t="s">
        <v>122</v>
      </c>
      <c r="F9" s="6" t="s">
        <v>107</v>
      </c>
      <c r="G9" s="6" t="s">
        <v>85</v>
      </c>
      <c r="H9" s="6" t="s">
        <v>123</v>
      </c>
    </row>
    <row r="10" customFormat="false" ht="15" hidden="false" customHeight="false" outlineLevel="0" collapsed="false">
      <c r="A10" s="6" t="n">
        <v>9</v>
      </c>
      <c r="B10" s="6" t="s">
        <v>124</v>
      </c>
      <c r="C10" s="6" t="s">
        <v>125</v>
      </c>
      <c r="D10" s="6" t="s">
        <v>126</v>
      </c>
      <c r="E10" s="6" t="s">
        <v>127</v>
      </c>
      <c r="F10" s="6" t="s">
        <v>107</v>
      </c>
      <c r="G10" s="6" t="s">
        <v>85</v>
      </c>
      <c r="H10" s="6" t="s">
        <v>128</v>
      </c>
    </row>
    <row r="11" customFormat="false" ht="15" hidden="false" customHeight="false" outlineLevel="0" collapsed="false">
      <c r="A11" s="6" t="n">
        <v>10</v>
      </c>
      <c r="B11" s="6" t="s">
        <v>129</v>
      </c>
      <c r="C11" s="6" t="s">
        <v>130</v>
      </c>
      <c r="D11" s="6" t="s">
        <v>131</v>
      </c>
      <c r="E11" s="6" t="s">
        <v>132</v>
      </c>
      <c r="F11" s="6" t="s">
        <v>84</v>
      </c>
      <c r="G11" s="6" t="s">
        <v>85</v>
      </c>
      <c r="H11" s="6" t="s">
        <v>133</v>
      </c>
    </row>
    <row r="12" customFormat="false" ht="15" hidden="false" customHeight="false" outlineLevel="0" collapsed="false">
      <c r="A12" s="6" t="n">
        <v>11</v>
      </c>
      <c r="B12" s="6" t="s">
        <v>134</v>
      </c>
      <c r="C12" s="6" t="s">
        <v>135</v>
      </c>
      <c r="D12" s="6" t="s">
        <v>136</v>
      </c>
      <c r="E12" s="6" t="s">
        <v>137</v>
      </c>
      <c r="F12" s="6" t="s">
        <v>84</v>
      </c>
      <c r="G12" s="6" t="s">
        <v>85</v>
      </c>
      <c r="H12" s="6" t="s">
        <v>138</v>
      </c>
    </row>
    <row r="13" customFormat="false" ht="23.85" hidden="false" customHeight="false" outlineLevel="0" collapsed="false">
      <c r="A13" s="6" t="n">
        <v>12</v>
      </c>
      <c r="B13" s="6" t="s">
        <v>139</v>
      </c>
      <c r="C13" s="6" t="s">
        <v>140</v>
      </c>
      <c r="D13" s="6" t="s">
        <v>141</v>
      </c>
      <c r="E13" s="6" t="s">
        <v>142</v>
      </c>
      <c r="F13" s="6" t="s">
        <v>143</v>
      </c>
      <c r="G13" s="6" t="s">
        <v>101</v>
      </c>
      <c r="H13" s="6" t="s">
        <v>144</v>
      </c>
    </row>
  </sheetData>
  <dataValidations count="2">
    <dataValidation allowBlank="true" errorStyle="stop" operator="between" showDropDown="false" showErrorMessage="false" showInputMessage="false" sqref="F2:F200" type="list">
      <formula1>"L3,L4,L5"</formula1>
      <formula2>0</formula2>
    </dataValidation>
    <dataValidation allowBlank="true" errorStyle="stop" operator="between" showDropDown="false" showErrorMessage="false" showInputMessage="false" sqref="G2:G20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40"/>
    <col collapsed="false" customWidth="true" hidden="false" outlineLevel="0" max="4" min="4" style="0" width="17"/>
    <col collapsed="false" customWidth="true" hidden="false" outlineLevel="0" max="5" min="5" style="0" width="12"/>
    <col collapsed="false" customWidth="true" hidden="false" outlineLevel="0" max="6" min="6" style="0" width="14"/>
    <col collapsed="false" customWidth="true" hidden="false" outlineLevel="0" max="7" min="7" style="0" width="11"/>
    <col collapsed="false" customWidth="true" hidden="false" outlineLevel="0" max="8" min="8" style="0" width="13"/>
    <col collapsed="false" customWidth="true" hidden="false" outlineLevel="0" max="10" min="10" style="0" width="52"/>
  </cols>
  <sheetData>
    <row r="1" customFormat="false" ht="30" hidden="false" customHeight="true" outlineLevel="0" collapsed="false">
      <c r="A1" s="4" t="s">
        <v>145</v>
      </c>
      <c r="B1" s="4" t="s">
        <v>20</v>
      </c>
      <c r="C1" s="4" t="s">
        <v>74</v>
      </c>
      <c r="D1" s="4" t="s">
        <v>146</v>
      </c>
      <c r="E1" s="4" t="s">
        <v>147</v>
      </c>
      <c r="F1" s="4" t="s">
        <v>148</v>
      </c>
      <c r="G1" s="4" t="s">
        <v>149</v>
      </c>
      <c r="H1" s="4" t="s">
        <v>150</v>
      </c>
    </row>
    <row r="2" customFormat="false" ht="79.85" hidden="false" customHeight="false" outlineLevel="0" collapsed="false">
      <c r="A2" s="6" t="s">
        <v>151</v>
      </c>
      <c r="B2" s="6" t="s">
        <v>152</v>
      </c>
      <c r="C2" s="6" t="s">
        <v>153</v>
      </c>
      <c r="D2" s="6" t="s">
        <v>154</v>
      </c>
      <c r="E2" s="6" t="n">
        <v>1</v>
      </c>
      <c r="F2" s="6" t="s">
        <v>155</v>
      </c>
      <c r="G2" s="6" t="s">
        <v>85</v>
      </c>
      <c r="H2" s="6"/>
      <c r="J2" s="10" t="s">
        <v>156</v>
      </c>
    </row>
    <row r="3" customFormat="false" ht="15" hidden="false" customHeight="false" outlineLevel="0" collapsed="false">
      <c r="A3" s="6" t="s">
        <v>157</v>
      </c>
      <c r="B3" s="6" t="s">
        <v>158</v>
      </c>
      <c r="C3" s="6" t="s">
        <v>159</v>
      </c>
      <c r="D3" s="6" t="s">
        <v>154</v>
      </c>
      <c r="E3" s="6" t="n">
        <v>2</v>
      </c>
      <c r="F3" s="6" t="s">
        <v>160</v>
      </c>
      <c r="G3" s="6" t="s">
        <v>85</v>
      </c>
      <c r="H3" s="6"/>
    </row>
    <row r="4" customFormat="false" ht="15" hidden="false" customHeight="false" outlineLevel="0" collapsed="false">
      <c r="A4" s="6" t="s">
        <v>161</v>
      </c>
      <c r="B4" s="6" t="s">
        <v>162</v>
      </c>
      <c r="C4" s="6" t="s">
        <v>163</v>
      </c>
      <c r="D4" s="6" t="s">
        <v>154</v>
      </c>
      <c r="E4" s="6" t="n">
        <v>3</v>
      </c>
      <c r="F4" s="6" t="s">
        <v>160</v>
      </c>
      <c r="G4" s="6" t="s">
        <v>101</v>
      </c>
      <c r="H4" s="6"/>
    </row>
    <row r="5" customFormat="false" ht="15" hidden="false" customHeight="false" outlineLevel="0" collapsed="false">
      <c r="A5" s="6" t="s">
        <v>164</v>
      </c>
      <c r="B5" s="6" t="s">
        <v>165</v>
      </c>
      <c r="C5" s="6" t="s">
        <v>166</v>
      </c>
      <c r="D5" s="6" t="s">
        <v>154</v>
      </c>
      <c r="E5" s="6" t="n">
        <v>4</v>
      </c>
      <c r="F5" s="6" t="s">
        <v>167</v>
      </c>
      <c r="G5" s="6" t="s">
        <v>85</v>
      </c>
      <c r="H5" s="6"/>
    </row>
    <row r="6" customFormat="false" ht="15" hidden="false" customHeight="false" outlineLevel="0" collapsed="false">
      <c r="A6" s="6" t="s">
        <v>168</v>
      </c>
      <c r="B6" s="6" t="s">
        <v>169</v>
      </c>
      <c r="C6" s="6" t="s">
        <v>170</v>
      </c>
      <c r="D6" s="6" t="s">
        <v>154</v>
      </c>
      <c r="E6" s="6" t="n">
        <v>5</v>
      </c>
      <c r="F6" s="6" t="s">
        <v>155</v>
      </c>
      <c r="G6" s="6" t="s">
        <v>101</v>
      </c>
      <c r="H6" s="6"/>
    </row>
    <row r="7" customFormat="false" ht="23.85" hidden="false" customHeight="false" outlineLevel="0" collapsed="false">
      <c r="A7" s="6" t="s">
        <v>171</v>
      </c>
      <c r="B7" s="6" t="s">
        <v>172</v>
      </c>
      <c r="C7" s="6" t="s">
        <v>173</v>
      </c>
      <c r="D7" s="6" t="s">
        <v>154</v>
      </c>
      <c r="E7" s="6" t="n">
        <v>6</v>
      </c>
      <c r="F7" s="6" t="s">
        <v>174</v>
      </c>
      <c r="G7" s="6" t="s">
        <v>101</v>
      </c>
      <c r="H7" s="6"/>
    </row>
    <row r="8" customFormat="false" ht="15" hidden="false" customHeight="false" outlineLevel="0" collapsed="false">
      <c r="A8" s="6" t="s">
        <v>175</v>
      </c>
      <c r="B8" s="6" t="s">
        <v>165</v>
      </c>
      <c r="C8" s="6" t="s">
        <v>166</v>
      </c>
      <c r="D8" s="6" t="s">
        <v>176</v>
      </c>
      <c r="E8" s="6"/>
      <c r="F8" s="6"/>
      <c r="G8" s="6"/>
      <c r="H8" s="6" t="n">
        <v>1</v>
      </c>
    </row>
    <row r="9" customFormat="false" ht="15" hidden="false" customHeight="false" outlineLevel="0" collapsed="false">
      <c r="A9" s="6" t="s">
        <v>177</v>
      </c>
      <c r="B9" s="6" t="s">
        <v>178</v>
      </c>
      <c r="C9" s="6" t="s">
        <v>179</v>
      </c>
      <c r="D9" s="6" t="s">
        <v>176</v>
      </c>
      <c r="E9" s="6"/>
      <c r="F9" s="6"/>
      <c r="G9" s="6"/>
      <c r="H9" s="6" t="n">
        <v>2</v>
      </c>
    </row>
    <row r="10" customFormat="false" ht="15" hidden="false" customHeight="false" outlineLevel="0" collapsed="false">
      <c r="A10" s="6" t="s">
        <v>180</v>
      </c>
      <c r="B10" s="6" t="s">
        <v>181</v>
      </c>
      <c r="C10" s="6" t="s">
        <v>182</v>
      </c>
      <c r="D10" s="6" t="s">
        <v>176</v>
      </c>
      <c r="E10" s="6"/>
      <c r="F10" s="6"/>
      <c r="G10" s="6"/>
      <c r="H10" s="6" t="n">
        <v>3</v>
      </c>
    </row>
    <row r="11" customFormat="false" ht="15" hidden="false" customHeight="false" outlineLevel="0" collapsed="false">
      <c r="A11" s="6" t="s">
        <v>183</v>
      </c>
      <c r="B11" s="6" t="s">
        <v>184</v>
      </c>
      <c r="C11" s="6" t="s">
        <v>185</v>
      </c>
      <c r="D11" s="6" t="s">
        <v>176</v>
      </c>
      <c r="E11" s="6"/>
      <c r="F11" s="6"/>
      <c r="G11" s="6"/>
      <c r="H11" s="6" t="n">
        <v>4</v>
      </c>
    </row>
    <row r="12" customFormat="false" ht="23.85" hidden="false" customHeight="false" outlineLevel="0" collapsed="false">
      <c r="A12" s="6" t="s">
        <v>186</v>
      </c>
      <c r="B12" s="6" t="s">
        <v>187</v>
      </c>
      <c r="C12" s="6" t="s">
        <v>188</v>
      </c>
      <c r="D12" s="6" t="s">
        <v>189</v>
      </c>
      <c r="E12" s="6"/>
      <c r="F12" s="6"/>
      <c r="G12" s="6"/>
      <c r="H12" s="6"/>
    </row>
    <row r="13" customFormat="false" ht="15" hidden="false" customHeight="false" outlineLevel="0" collapsed="false">
      <c r="A13" s="6" t="s">
        <v>190</v>
      </c>
      <c r="B13" s="6" t="s">
        <v>165</v>
      </c>
      <c r="C13" s="6" t="s">
        <v>166</v>
      </c>
      <c r="D13" s="6" t="s">
        <v>191</v>
      </c>
      <c r="E13" s="6"/>
      <c r="F13" s="6"/>
      <c r="G13" s="6"/>
      <c r="H13" s="6"/>
    </row>
    <row r="14" customFormat="false" ht="15" hidden="false" customHeight="false" outlineLevel="0" collapsed="false">
      <c r="A14" s="6" t="s">
        <v>192</v>
      </c>
      <c r="B14" s="6" t="s">
        <v>193</v>
      </c>
      <c r="C14" s="6" t="s">
        <v>194</v>
      </c>
      <c r="D14" s="6" t="s">
        <v>191</v>
      </c>
      <c r="E14" s="6"/>
      <c r="F14" s="6"/>
      <c r="G14" s="6"/>
      <c r="H14" s="6"/>
    </row>
    <row r="15" customFormat="false" ht="15" hidden="false" customHeight="false" outlineLevel="0" collapsed="false">
      <c r="A15" s="6" t="s">
        <v>195</v>
      </c>
      <c r="B15" s="6" t="s">
        <v>196</v>
      </c>
      <c r="C15" s="6" t="s">
        <v>197</v>
      </c>
      <c r="D15" s="6" t="s">
        <v>191</v>
      </c>
      <c r="E15" s="6"/>
      <c r="F15" s="6"/>
      <c r="G15" s="6"/>
      <c r="H15" s="6"/>
    </row>
  </sheetData>
  <dataValidations count="2">
    <dataValidation allowBlank="true" errorStyle="stop" operator="between" showDropDown="false" showErrorMessage="false" showInputMessage="false" sqref="D2:D200" type="list">
      <formula1>"BUILD_STEP,MIY_MODEL,TRANSFER_MODEL,FLUENCY,RECALL_PROMPT,CAPSTONE"</formula1>
      <formula2>0</formula2>
    </dataValidation>
    <dataValidation allowBlank="true" errorStyle="stop" operator="between" showDropDown="false" showErrorMessage="false" showInputMessage="false" sqref="G2:G20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42"/>
    <col collapsed="false" customWidth="true" hidden="false" outlineLevel="0" max="5" min="5" style="0" width="30"/>
    <col collapsed="false" customWidth="true" hidden="false" outlineLevel="0" max="7" min="7" style="0" width="52"/>
  </cols>
  <sheetData>
    <row r="1" customFormat="false" ht="30" hidden="false" customHeight="true" outlineLevel="0" collapsed="false">
      <c r="A1" s="4" t="s">
        <v>198</v>
      </c>
      <c r="B1" s="4" t="s">
        <v>199</v>
      </c>
      <c r="C1" s="4" t="s">
        <v>20</v>
      </c>
      <c r="D1" s="4" t="s">
        <v>200</v>
      </c>
      <c r="E1" s="4" t="s">
        <v>201</v>
      </c>
    </row>
    <row r="2" customFormat="false" ht="46.25" hidden="false" customHeight="false" outlineLevel="0" collapsed="false">
      <c r="A2" s="6" t="n">
        <v>1</v>
      </c>
      <c r="B2" s="6" t="s">
        <v>202</v>
      </c>
      <c r="C2" s="6" t="s">
        <v>162</v>
      </c>
      <c r="D2" s="6" t="s">
        <v>163</v>
      </c>
      <c r="E2" s="6" t="s">
        <v>203</v>
      </c>
      <c r="G2" s="10" t="s">
        <v>204</v>
      </c>
    </row>
    <row r="3" customFormat="false" ht="15" hidden="false" customHeight="false" outlineLevel="0" collapsed="false">
      <c r="A3" s="6" t="n">
        <v>2</v>
      </c>
      <c r="B3" s="6" t="s">
        <v>205</v>
      </c>
      <c r="C3" s="6" t="s">
        <v>158</v>
      </c>
      <c r="D3" s="6" t="s">
        <v>159</v>
      </c>
      <c r="E3" s="6" t="s">
        <v>206</v>
      </c>
    </row>
    <row r="4" customFormat="false" ht="15" hidden="false" customHeight="false" outlineLevel="0" collapsed="false">
      <c r="A4" s="6" t="n">
        <v>3</v>
      </c>
      <c r="B4" s="6" t="s">
        <v>202</v>
      </c>
      <c r="C4" s="6" t="s">
        <v>207</v>
      </c>
      <c r="D4" s="6" t="s">
        <v>208</v>
      </c>
      <c r="E4" s="6"/>
    </row>
    <row r="5" customFormat="false" ht="15" hidden="false" customHeight="false" outlineLevel="0" collapsed="false">
      <c r="A5" s="6" t="n">
        <v>4</v>
      </c>
      <c r="B5" s="6" t="s">
        <v>205</v>
      </c>
      <c r="C5" s="6" t="s">
        <v>178</v>
      </c>
      <c r="D5" s="6" t="s">
        <v>179</v>
      </c>
      <c r="E5" s="6" t="s">
        <v>209</v>
      </c>
    </row>
    <row r="6" customFormat="false" ht="15" hidden="false" customHeight="false" outlineLevel="0" collapsed="false">
      <c r="A6" s="6" t="n">
        <v>5</v>
      </c>
      <c r="B6" s="6" t="s">
        <v>202</v>
      </c>
      <c r="C6" s="6" t="s">
        <v>210</v>
      </c>
      <c r="D6" s="6" t="s">
        <v>211</v>
      </c>
      <c r="E6" s="6"/>
    </row>
  </sheetData>
  <dataValidations count="1">
    <dataValidation allowBlank="true" errorStyle="stop" operator="between" showDropDown="false" showErrorMessage="false" showInputMessage="false" sqref="B2:B50" type="list">
      <formula1>"FR·WOMAN,FR·MAN"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4"/>
    <col collapsed="false" customWidth="true" hidden="false" outlineLevel="0" max="3" min="3" style="0" width="14"/>
    <col collapsed="false" customWidth="true" hidden="false" outlineLevel="0" max="4" min="4" style="0" width="44"/>
    <col collapsed="false" customWidth="true" hidden="false" outlineLevel="0" max="5" min="5" style="0" width="18"/>
    <col collapsed="false" customWidth="true" hidden="false" outlineLevel="0" max="7" min="7" style="0" width="52"/>
  </cols>
  <sheetData>
    <row r="1" customFormat="false" ht="30" hidden="false" customHeight="true" outlineLevel="0" collapsed="false">
      <c r="A1" s="4" t="s">
        <v>212</v>
      </c>
      <c r="B1" s="4" t="s">
        <v>213</v>
      </c>
      <c r="C1" s="4" t="s">
        <v>214</v>
      </c>
      <c r="D1" s="4" t="s">
        <v>215</v>
      </c>
      <c r="E1" s="4" t="s">
        <v>216</v>
      </c>
    </row>
    <row r="2" customFormat="false" ht="46.25" hidden="false" customHeight="false" outlineLevel="0" collapsed="false">
      <c r="A2" s="6" t="n">
        <v>1</v>
      </c>
      <c r="B2" s="6" t="s">
        <v>217</v>
      </c>
      <c r="C2" s="6" t="s">
        <v>101</v>
      </c>
      <c r="D2" s="6" t="s">
        <v>218</v>
      </c>
      <c r="E2" s="6" t="s">
        <v>175</v>
      </c>
      <c r="G2" s="10" t="s">
        <v>219</v>
      </c>
    </row>
    <row r="3" customFormat="false" ht="35.05" hidden="false" customHeight="false" outlineLevel="0" collapsed="false">
      <c r="A3" s="6" t="n">
        <v>2</v>
      </c>
      <c r="B3" s="6" t="s">
        <v>220</v>
      </c>
      <c r="C3" s="6" t="s">
        <v>85</v>
      </c>
      <c r="D3" s="6" t="s">
        <v>221</v>
      </c>
      <c r="E3" s="6" t="s">
        <v>177</v>
      </c>
    </row>
    <row r="4" customFormat="false" ht="23.85" hidden="false" customHeight="false" outlineLevel="0" collapsed="false">
      <c r="A4" s="6" t="n">
        <v>3</v>
      </c>
      <c r="B4" s="6" t="s">
        <v>222</v>
      </c>
      <c r="C4" s="6" t="s">
        <v>85</v>
      </c>
      <c r="D4" s="6" t="s">
        <v>223</v>
      </c>
      <c r="E4" s="6" t="s">
        <v>180</v>
      </c>
    </row>
    <row r="5" customFormat="false" ht="23.85" hidden="false" customHeight="false" outlineLevel="0" collapsed="false">
      <c r="A5" s="6" t="n">
        <v>4</v>
      </c>
      <c r="B5" s="6" t="s">
        <v>224</v>
      </c>
      <c r="C5" s="6" t="s">
        <v>85</v>
      </c>
      <c r="D5" s="6" t="s">
        <v>225</v>
      </c>
      <c r="E5" s="6" t="s">
        <v>183</v>
      </c>
    </row>
  </sheetData>
  <dataValidations count="1">
    <dataValidation allowBlank="true" errorStyle="stop" operator="between" showDropDown="false" showErrorMessage="false" showInputMessage="false" sqref="C2:C5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2026-07-26T22:07:20Z</dcterms:created>
  <dc:creator>openpyxl</dc:creator>
  <dc:description/>
  <dc:language>en-US</dc:language>
  <cp:lastModifiedBy/>
  <dcterms:modified xsi:type="dcterms:W3CDTF">2026-07-26T22:07:20Z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